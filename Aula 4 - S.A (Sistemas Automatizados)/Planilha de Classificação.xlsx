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a E-S" sheetId="1" state="visible" r:id="rId3"/>
    <sheet name="Casos de teste" sheetId="2" state="visible" r:id="rId4"/>
    <sheet name="Amostras" sheetId="3" state="visible" r:id="rId5"/>
    <sheet name="Grafic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<sst xmlns="http://schemas.openxmlformats.org/spreadsheetml/2006/main" count="90" uniqueCount="69">
  <si>
    <t xml:space="preserve">Tabela de E/S</t>
  </si>
  <si>
    <t xml:space="preserve">Elemento</t>
  </si>
  <si>
    <t xml:space="preserve">Pino</t>
  </si>
  <si>
    <t xml:space="preserve">Direção</t>
  </si>
  <si>
    <t xml:space="preserve">Natureza</t>
  </si>
  <si>
    <t xml:space="preserve">Função</t>
  </si>
  <si>
    <t xml:space="preserve">Pushbutton</t>
  </si>
  <si>
    <t xml:space="preserve">D2</t>
  </si>
  <si>
    <t xml:space="preserve">Entrada</t>
  </si>
  <si>
    <t xml:space="preserve">Digital</t>
  </si>
  <si>
    <t xml:space="preserve">Comando do LED</t>
  </si>
  <si>
    <t xml:space="preserve">Potenciômetro</t>
  </si>
  <si>
    <t xml:space="preserve">A0</t>
  </si>
  <si>
    <t xml:space="preserve">Analógica</t>
  </si>
  <si>
    <t xml:space="preserve">Variável</t>
  </si>
  <si>
    <t xml:space="preserve">DHT22</t>
  </si>
  <si>
    <t xml:space="preserve">D4</t>
  </si>
  <si>
    <t xml:space="preserve">Detectar falha</t>
  </si>
  <si>
    <t xml:space="preserve">LED</t>
  </si>
  <si>
    <t xml:space="preserve">D8</t>
  </si>
  <si>
    <t xml:space="preserve">Saída</t>
  </si>
  <si>
    <t xml:space="preserve">Sinalização</t>
  </si>
  <si>
    <t xml:space="preserve">Percentual</t>
  </si>
  <si>
    <t xml:space="preserve">Software</t>
  </si>
  <si>
    <t xml:space="preserve">Interno</t>
  </si>
  <si>
    <t xml:space="preserve">Numérico</t>
  </si>
  <si>
    <t xml:space="preserve">100 * bruto / 1023</t>
  </si>
  <si>
    <t xml:space="preserve">Casos de teste</t>
  </si>
  <si>
    <t xml:space="preserve">Caso</t>
  </si>
  <si>
    <t xml:space="preserve">Botão</t>
  </si>
  <si>
    <t xml:space="preserve">Bruto</t>
  </si>
  <si>
    <t xml:space="preserve">% esperado</t>
  </si>
  <si>
    <t xml:space="preserve">Estado esperado</t>
  </si>
  <si>
    <t xml:space="preserve">1</t>
  </si>
  <si>
    <t xml:space="preserve">Liberado</t>
  </si>
  <si>
    <t xml:space="preserve">0</t>
  </si>
  <si>
    <t xml:space="preserve">0%</t>
  </si>
  <si>
    <t xml:space="preserve">NORMAL</t>
  </si>
  <si>
    <t xml:space="preserve">2</t>
  </si>
  <si>
    <t xml:space="preserve">Pressionado</t>
  </si>
  <si>
    <t xml:space="preserve">3</t>
  </si>
  <si>
    <t xml:space="preserve">512</t>
  </si>
  <si>
    <t xml:space="preserve">~50%</t>
  </si>
  <si>
    <t xml:space="preserve">4</t>
  </si>
  <si>
    <t xml:space="preserve">716</t>
  </si>
  <si>
    <t xml:space="preserve">~70%</t>
  </si>
  <si>
    <t xml:space="preserve">ATENCAO</t>
  </si>
  <si>
    <t xml:space="preserve">5</t>
  </si>
  <si>
    <t xml:space="preserve">869</t>
  </si>
  <si>
    <t xml:space="preserve">~85%</t>
  </si>
  <si>
    <t xml:space="preserve">PERIGO</t>
  </si>
  <si>
    <t xml:space="preserve">6</t>
  </si>
  <si>
    <t xml:space="preserve">1023</t>
  </si>
  <si>
    <t xml:space="preserve">100%</t>
  </si>
  <si>
    <t xml:space="preserve">7</t>
  </si>
  <si>
    <t xml:space="preserve">8</t>
  </si>
  <si>
    <t xml:space="preserve">Qualquer</t>
  </si>
  <si>
    <t xml:space="preserve">DHT falha</t>
  </si>
  <si>
    <t xml:space="preserve">-</t>
  </si>
  <si>
    <t xml:space="preserve">FALHA</t>
  </si>
  <si>
    <t xml:space="preserve">Planilha de amostras</t>
  </si>
  <si>
    <t xml:space="preserve">Fórmulas: % = 100*bruto/1023 | temp = % | corrente = 4+16*%/100 | tensão = 10*%/100</t>
  </si>
  <si>
    <t xml:space="preserve">Amostra</t>
  </si>
  <si>
    <t xml:space="preserve">Percentual (%)</t>
  </si>
  <si>
    <t xml:space="preserve">Temp (°C)</t>
  </si>
  <si>
    <t xml:space="preserve">Corrente (mA)</t>
  </si>
  <si>
    <t xml:space="preserve">Tensão (V)</t>
  </si>
  <si>
    <t xml:space="preserve">Estado</t>
  </si>
  <si>
    <t xml:space="preserve">Gráfico de tendência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</si>
</sst>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Tendência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Grafico!B3</c:f>
              <c:strCache>
                <c:ptCount val="1"/>
                <c:pt idx="0">
                  <c:v>Percentual (%)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Grafico!$B$4:$B$13</c:f>
              <c:numCache>
                <c:formatCode>0.0</c:formatCode>
                <c:ptCount val="10"/>
                <c:pt idx="0">
                  <c:v>0</c:v>
                </c:pt>
                <c:pt idx="1">
                  <c:v>9.77517106549365</c:v>
                </c:pt>
                <c:pt idx="2">
                  <c:v>25.0244379276637</c:v>
                </c:pt>
                <c:pt idx="3">
                  <c:v>39.1006842619746</c:v>
                </c:pt>
                <c:pt idx="4">
                  <c:v>50.0488758553275</c:v>
                </c:pt>
                <c:pt idx="5">
                  <c:v>69.9902248289345</c:v>
                </c:pt>
                <c:pt idx="6">
                  <c:v>76.2463343108504</c:v>
                </c:pt>
                <c:pt idx="7">
                  <c:v>84.9462365591398</c:v>
                </c:pt>
                <c:pt idx="8">
                  <c:v>92.8641251221896</c:v>
                </c:pt>
                <c:pt idx="9">
                  <c:v>100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Grafico!C3</c:f>
              <c:strCache>
                <c:ptCount val="1"/>
                <c:pt idx="0">
                  <c:v>Temp (°C)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Grafico!$A$4:$A$13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Grafico!$C$4:$C$13</c:f>
              <c:numCache>
                <c:formatCode>0.0</c:formatCode>
                <c:ptCount val="10"/>
                <c:pt idx="0">
                  <c:v>0</c:v>
                </c:pt>
                <c:pt idx="1">
                  <c:v>9.77517106549365</c:v>
                </c:pt>
                <c:pt idx="2">
                  <c:v>25.0244379276637</c:v>
                </c:pt>
                <c:pt idx="3">
                  <c:v>39.1006842619746</c:v>
                </c:pt>
                <c:pt idx="4">
                  <c:v>50.0488758553275</c:v>
                </c:pt>
                <c:pt idx="5">
                  <c:v>69.9902248289345</c:v>
                </c:pt>
                <c:pt idx="6">
                  <c:v>76.2463343108504</c:v>
                </c:pt>
                <c:pt idx="7">
                  <c:v>84.9462365591398</c:v>
                </c:pt>
                <c:pt idx="8">
                  <c:v>92.8641251221896</c:v>
                </c:pt>
                <c:pt idx="9">
                  <c:v>100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2567740"/>
        <c:axId val="67503650"/>
      </c:lineChart>
      <c:catAx>
        <c:axId val="5256774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Amostra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503650"/>
        <c:crosses val="autoZero"/>
        <c:auto val="1"/>
        <c:lblAlgn val="ctr"/>
        <c:lblOffset val="100"/>
        <c:noMultiLvlLbl val="0"/>
      </c:catAx>
      <c:valAx>
        <c:axId val="675036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/ °C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5677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7</xdr:col>
      <xdr:colOff>56160</xdr:colOff>
      <xdr:row>33</xdr:row>
      <xdr:rowOff>170640</xdr:rowOff>
    </xdr:to>
    <xdr:graphicFrame>
      <xdr:nvGraphicFramePr>
        <xdr:cNvPr id="0" name="Chart 1"/>
        <xdr:cNvGraphicFramePr/>
      </xdr:nvGraphicFramePr>
      <xdr:xfrm>
        <a:off x="0" y="28576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6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customFormat="false" ht="15" hidden="false" customHeight="false" outlineLevel="0" collapsed="false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customFormat="false" ht="15" hidden="false" customHeight="false" outlineLevel="0" collapsed="false">
      <c r="A5" s="3" t="s">
        <v>11</v>
      </c>
      <c r="B5" s="3" t="s">
        <v>12</v>
      </c>
      <c r="C5" s="3" t="s">
        <v>8</v>
      </c>
      <c r="D5" s="3" t="s">
        <v>13</v>
      </c>
      <c r="E5" s="3" t="s">
        <v>14</v>
      </c>
    </row>
    <row r="6" customFormat="false" ht="15" hidden="false" customHeight="false" outlineLevel="0" collapsed="false">
      <c r="A6" s="3" t="s">
        <v>15</v>
      </c>
      <c r="B6" s="3" t="s">
        <v>16</v>
      </c>
      <c r="C6" s="3" t="s">
        <v>8</v>
      </c>
      <c r="D6" s="3" t="s">
        <v>9</v>
      </c>
      <c r="E6" s="3" t="s">
        <v>17</v>
      </c>
    </row>
    <row r="7" customFormat="false" ht="15" hidden="false" customHeight="false" outlineLevel="0" collapsed="false">
      <c r="A7" s="3" t="s">
        <v>18</v>
      </c>
      <c r="B7" s="3" t="s">
        <v>19</v>
      </c>
      <c r="C7" s="3" t="s">
        <v>20</v>
      </c>
      <c r="D7" s="3" t="s">
        <v>9</v>
      </c>
      <c r="E7" s="3" t="s">
        <v>21</v>
      </c>
    </row>
    <row r="8" customFormat="false" ht="15" hidden="false" customHeight="false" outlineLevel="0" collapsed="false">
      <c r="A8" s="3" t="s">
        <v>22</v>
      </c>
      <c r="B8" s="3" t="s">
        <v>23</v>
      </c>
      <c r="C8" s="3" t="s">
        <v>24</v>
      </c>
      <c r="D8" s="3" t="s">
        <v>25</v>
      </c>
      <c r="E8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" t="s">
        <v>27</v>
      </c>
    </row>
    <row r="3" customFormat="false" ht="15" hidden="false" customHeight="false" outlineLevel="0" collapsed="false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</row>
    <row r="4" customFormat="false" ht="15" hidden="false" customHeight="false" outlineLevel="0" collapsed="false">
      <c r="A4" s="3" t="s">
        <v>33</v>
      </c>
      <c r="B4" s="3" t="s">
        <v>34</v>
      </c>
      <c r="C4" s="3" t="s">
        <v>35</v>
      </c>
      <c r="D4" s="3" t="s">
        <v>36</v>
      </c>
      <c r="E4" s="3" t="s">
        <v>37</v>
      </c>
    </row>
    <row r="5" customFormat="false" ht="15" hidden="false" customHeight="false" outlineLevel="0" collapsed="false">
      <c r="A5" s="3" t="s">
        <v>38</v>
      </c>
      <c r="B5" s="3" t="s">
        <v>39</v>
      </c>
      <c r="C5" s="3" t="s">
        <v>35</v>
      </c>
      <c r="D5" s="3" t="s">
        <v>36</v>
      </c>
      <c r="E5" s="3" t="s">
        <v>37</v>
      </c>
    </row>
    <row r="6" customFormat="false" ht="15" hidden="false" customHeight="false" outlineLevel="0" collapsed="false">
      <c r="A6" s="3" t="s">
        <v>40</v>
      </c>
      <c r="B6" s="3" t="s">
        <v>34</v>
      </c>
      <c r="C6" s="3" t="s">
        <v>41</v>
      </c>
      <c r="D6" s="3" t="s">
        <v>42</v>
      </c>
      <c r="E6" s="3" t="s">
        <v>37</v>
      </c>
    </row>
    <row r="7" customFormat="false" ht="15" hidden="false" customHeight="false" outlineLevel="0" collapsed="false">
      <c r="A7" s="3" t="s">
        <v>43</v>
      </c>
      <c r="B7" s="3" t="s">
        <v>34</v>
      </c>
      <c r="C7" s="3" t="s">
        <v>44</v>
      </c>
      <c r="D7" s="3" t="s">
        <v>45</v>
      </c>
      <c r="E7" s="3" t="s">
        <v>46</v>
      </c>
    </row>
    <row r="8" customFormat="false" ht="15" hidden="false" customHeight="false" outlineLevel="0" collapsed="false">
      <c r="A8" s="3" t="s">
        <v>47</v>
      </c>
      <c r="B8" s="3" t="s">
        <v>34</v>
      </c>
      <c r="C8" s="3" t="s">
        <v>48</v>
      </c>
      <c r="D8" s="3" t="s">
        <v>49</v>
      </c>
      <c r="E8" s="3" t="s">
        <v>50</v>
      </c>
    </row>
    <row r="9" customFormat="false" ht="15" hidden="false" customHeight="false" outlineLevel="0" collapsed="false">
      <c r="A9" s="3" t="s">
        <v>51</v>
      </c>
      <c r="B9" s="3" t="s">
        <v>34</v>
      </c>
      <c r="C9" s="3" t="s">
        <v>52</v>
      </c>
      <c r="D9" s="3" t="s">
        <v>53</v>
      </c>
      <c r="E9" s="3" t="s">
        <v>50</v>
      </c>
    </row>
    <row r="10" customFormat="false" ht="15" hidden="false" customHeight="false" outlineLevel="0" collapsed="false">
      <c r="A10" s="3" t="s">
        <v>54</v>
      </c>
      <c r="B10" s="3" t="s">
        <v>39</v>
      </c>
      <c r="C10" s="3" t="s">
        <v>52</v>
      </c>
      <c r="D10" s="3" t="s">
        <v>53</v>
      </c>
      <c r="E10" s="3" t="s">
        <v>50</v>
      </c>
    </row>
    <row r="11" customFormat="false" ht="15" hidden="false" customHeight="false" outlineLevel="0" collapsed="false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4"/>
  </cols>
  <sheetData>
    <row r="1" customFormat="false" ht="15" hidden="false" customHeight="false" outlineLevel="0" collapsed="false">
      <c r="A1" s="1" t="s">
        <v>60</v>
      </c>
    </row>
    <row r="2" customFormat="false" ht="15" hidden="false" customHeight="false" outlineLevel="0" collapsed="false">
      <c r="A2" s="4" t="s">
        <v>61</v>
      </c>
    </row>
    <row r="4" customFormat="false" ht="15" hidden="false" customHeight="false" outlineLevel="0" collapsed="false">
      <c r="A4" s="2" t="s">
        <v>62</v>
      </c>
      <c r="B4" s="2" t="s">
        <v>30</v>
      </c>
      <c r="C4" s="2" t="s">
        <v>63</v>
      </c>
      <c r="D4" s="2" t="s">
        <v>64</v>
      </c>
      <c r="E4" s="2" t="s">
        <v>65</v>
      </c>
      <c r="F4" s="2" t="s">
        <v>66</v>
      </c>
      <c r="G4" s="2" t="s">
        <v>67</v>
      </c>
    </row>
    <row r="5" customFormat="false" ht="15" hidden="false" customHeight="false" outlineLevel="0" collapsed="false">
      <c r="A5" s="3" t="n">
        <v>1</v>
      </c>
      <c r="B5" s="5" t="n">
        <v>0</v>
      </c>
      <c r="C5" s="6" t="n">
        <f aca="false">100*B5/1023</f>
        <v>0</v>
      </c>
      <c r="D5" s="6" t="n">
        <f aca="false">C5</f>
        <v>0</v>
      </c>
      <c r="E5" s="7" t="n">
        <f aca="false">4+16*C5/100</f>
        <v>4</v>
      </c>
      <c r="F5" s="7" t="n">
        <f aca="false">10*C5/100</f>
        <v>0</v>
      </c>
      <c r="G5" s="8" t="str">
        <f aca="false">IF(OR(B5&lt;0,B5&gt;1023),"FALHA",IF(C5&gt;=85,"PERIGO",IF(C5&gt;=70,"ATENCAO","NORMAL")))</f>
        <v>NORMAL</v>
      </c>
    </row>
    <row r="6" customFormat="false" ht="15" hidden="false" customHeight="false" outlineLevel="0" collapsed="false">
      <c r="A6" s="3" t="n">
        <v>2</v>
      </c>
      <c r="B6" s="5" t="n">
        <v>100</v>
      </c>
      <c r="C6" s="6" t="n">
        <f aca="false">100*B6/1023</f>
        <v>9.77517106549365</v>
      </c>
      <c r="D6" s="6" t="n">
        <f aca="false">C6</f>
        <v>9.77517106549365</v>
      </c>
      <c r="E6" s="7" t="n">
        <f aca="false">4+16*C6/100</f>
        <v>5.56402737047898</v>
      </c>
      <c r="F6" s="7" t="n">
        <f aca="false">10*C6/100</f>
        <v>0.977517106549365</v>
      </c>
      <c r="G6" s="8" t="str">
        <f aca="false">IF(OR(B6&lt;0,B6&gt;1023),"FALHA",IF(C6&gt;=85,"PERIGO",IF(C6&gt;=70,"ATENCAO","NORMAL")))</f>
        <v>NORMAL</v>
      </c>
    </row>
    <row r="7" customFormat="false" ht="15" hidden="false" customHeight="false" outlineLevel="0" collapsed="false">
      <c r="A7" s="3" t="n">
        <v>3</v>
      </c>
      <c r="B7" s="5" t="n">
        <v>256</v>
      </c>
      <c r="C7" s="6" t="n">
        <f aca="false">100*B7/1023</f>
        <v>25.0244379276637</v>
      </c>
      <c r="D7" s="6" t="n">
        <f aca="false">C7</f>
        <v>25.0244379276637</v>
      </c>
      <c r="E7" s="7" t="n">
        <f aca="false">4+16*C7/100</f>
        <v>8.0039100684262</v>
      </c>
      <c r="F7" s="7" t="n">
        <f aca="false">10*C7/100</f>
        <v>2.50244379276637</v>
      </c>
      <c r="G7" s="8" t="str">
        <f aca="false">IF(OR(B7&lt;0,B7&gt;1023),"FALHA",IF(C7&gt;=85,"PERIGO",IF(C7&gt;=70,"ATENCAO","NORMAL")))</f>
        <v>NORMAL</v>
      </c>
    </row>
    <row r="8" customFormat="false" ht="15" hidden="false" customHeight="false" outlineLevel="0" collapsed="false">
      <c r="A8" s="3" t="n">
        <v>4</v>
      </c>
      <c r="B8" s="5" t="n">
        <v>400</v>
      </c>
      <c r="C8" s="6" t="n">
        <f aca="false">100*B8/1023</f>
        <v>39.1006842619746</v>
      </c>
      <c r="D8" s="6" t="n">
        <f aca="false">C8</f>
        <v>39.1006842619746</v>
      </c>
      <c r="E8" s="7" t="n">
        <f aca="false">4+16*C8/100</f>
        <v>10.2561094819159</v>
      </c>
      <c r="F8" s="7" t="n">
        <f aca="false">10*C8/100</f>
        <v>3.91006842619746</v>
      </c>
      <c r="G8" s="8" t="str">
        <f aca="false">IF(OR(B8&lt;0,B8&gt;1023),"FALHA",IF(C8&gt;=85,"PERIGO",IF(C8&gt;=70,"ATENCAO","NORMAL")))</f>
        <v>NORMAL</v>
      </c>
    </row>
    <row r="9" customFormat="false" ht="15" hidden="false" customHeight="false" outlineLevel="0" collapsed="false">
      <c r="A9" s="3" t="n">
        <v>5</v>
      </c>
      <c r="B9" s="5" t="n">
        <v>512</v>
      </c>
      <c r="C9" s="6" t="n">
        <f aca="false">100*B9/1023</f>
        <v>50.0488758553275</v>
      </c>
      <c r="D9" s="6" t="n">
        <f aca="false">C9</f>
        <v>50.0488758553275</v>
      </c>
      <c r="E9" s="7" t="n">
        <f aca="false">4+16*C9/100</f>
        <v>12.0078201368524</v>
      </c>
      <c r="F9" s="7" t="n">
        <f aca="false">10*C9/100</f>
        <v>5.00488758553275</v>
      </c>
      <c r="G9" s="8" t="str">
        <f aca="false">IF(OR(B9&lt;0,B9&gt;1023),"FALHA",IF(C9&gt;=85,"PERIGO",IF(C9&gt;=70,"ATENCAO","NORMAL")))</f>
        <v>NORMAL</v>
      </c>
    </row>
    <row r="10" customFormat="false" ht="15" hidden="false" customHeight="false" outlineLevel="0" collapsed="false">
      <c r="A10" s="3" t="n">
        <v>6</v>
      </c>
      <c r="B10" s="5" t="n">
        <v>716</v>
      </c>
      <c r="C10" s="6" t="n">
        <f aca="false">100*B10/1023</f>
        <v>69.9902248289345</v>
      </c>
      <c r="D10" s="6" t="n">
        <f aca="false">C10</f>
        <v>69.9902248289345</v>
      </c>
      <c r="E10" s="7" t="n">
        <f aca="false">4+16*C10/100</f>
        <v>15.1984359726295</v>
      </c>
      <c r="F10" s="7" t="n">
        <f aca="false">10*C10/100</f>
        <v>6.99902248289345</v>
      </c>
      <c r="G10" s="8" t="str">
        <f aca="false">IF(OR(B10&lt;0,B10&gt;1023),"FALHA",IF(C10&gt;=85,"PERIGO",IF(C10&gt;=70,"ATENCAO","NORMAL")))</f>
        <v>NORMAL</v>
      </c>
    </row>
    <row r="11" customFormat="false" ht="15" hidden="false" customHeight="false" outlineLevel="0" collapsed="false">
      <c r="A11" s="3" t="n">
        <v>7</v>
      </c>
      <c r="B11" s="5" t="n">
        <v>780</v>
      </c>
      <c r="C11" s="6" t="n">
        <f aca="false">100*B11/1023</f>
        <v>76.2463343108504</v>
      </c>
      <c r="D11" s="6" t="n">
        <f aca="false">C11</f>
        <v>76.2463343108504</v>
      </c>
      <c r="E11" s="7" t="n">
        <f aca="false">4+16*C11/100</f>
        <v>16.1994134897361</v>
      </c>
      <c r="F11" s="7" t="n">
        <f aca="false">10*C11/100</f>
        <v>7.62463343108504</v>
      </c>
      <c r="G11" s="8" t="str">
        <f aca="false">IF(OR(B11&lt;0,B11&gt;1023),"FALHA",IF(C11&gt;=85,"PERIGO",IF(C11&gt;=70,"ATENCAO","NORMAL")))</f>
        <v>ATENCAO</v>
      </c>
    </row>
    <row r="12" customFormat="false" ht="15" hidden="false" customHeight="false" outlineLevel="0" collapsed="false">
      <c r="A12" s="3" t="n">
        <v>8</v>
      </c>
      <c r="B12" s="5" t="n">
        <v>869</v>
      </c>
      <c r="C12" s="6" t="n">
        <f aca="false">100*B12/1023</f>
        <v>84.9462365591398</v>
      </c>
      <c r="D12" s="6" t="n">
        <f aca="false">C12</f>
        <v>84.9462365591398</v>
      </c>
      <c r="E12" s="7" t="n">
        <f aca="false">4+16*C12/100</f>
        <v>17.5913978494624</v>
      </c>
      <c r="F12" s="7" t="n">
        <f aca="false">10*C12/100</f>
        <v>8.49462365591398</v>
      </c>
      <c r="G12" s="8" t="str">
        <f aca="false">IF(OR(B12&lt;0,B12&gt;1023),"FALHA",IF(C12&gt;=85,"PERIGO",IF(C12&gt;=70,"ATENCAO","NORMAL")))</f>
        <v>ATENCAO</v>
      </c>
    </row>
    <row r="13" customFormat="false" ht="15" hidden="false" customHeight="false" outlineLevel="0" collapsed="false">
      <c r="A13" s="3" t="n">
        <v>9</v>
      </c>
      <c r="B13" s="5" t="n">
        <v>950</v>
      </c>
      <c r="C13" s="6" t="n">
        <f aca="false">100*B13/1023</f>
        <v>92.8641251221896</v>
      </c>
      <c r="D13" s="6" t="n">
        <f aca="false">C13</f>
        <v>92.8641251221896</v>
      </c>
      <c r="E13" s="7" t="n">
        <f aca="false">4+16*C13/100</f>
        <v>18.8582600195503</v>
      </c>
      <c r="F13" s="7" t="n">
        <f aca="false">10*C13/100</f>
        <v>9.28641251221896</v>
      </c>
      <c r="G13" s="8" t="str">
        <f aca="false">IF(OR(B13&lt;0,B13&gt;1023),"FALHA",IF(C13&gt;=85,"PERIGO",IF(C13&gt;=70,"ATENCAO","NORMAL")))</f>
        <v>PERIGO</v>
      </c>
    </row>
    <row r="14" customFormat="false" ht="15" hidden="false" customHeight="false" outlineLevel="0" collapsed="false">
      <c r="A14" s="3" t="n">
        <v>10</v>
      </c>
      <c r="B14" s="5" t="n">
        <v>1023</v>
      </c>
      <c r="C14" s="6" t="n">
        <f aca="false">100*B14/1023</f>
        <v>100</v>
      </c>
      <c r="D14" s="6" t="n">
        <f aca="false">C14</f>
        <v>100</v>
      </c>
      <c r="E14" s="7" t="n">
        <f aca="false">4+16*C14/100</f>
        <v>20</v>
      </c>
      <c r="F14" s="7" t="n">
        <f aca="false">10*C14/100</f>
        <v>10</v>
      </c>
      <c r="G14" s="8" t="str">
        <f aca="false">IF(OR(B14&lt;0,B14&gt;1023),"FALHA",IF(C14&gt;=85,"PERIGO",IF(C14&gt;=70,"ATENCAO","NORMAL")))</f>
        <v>PERIGO</v>
      </c>
    </row>
  </sheetData>
  <conditionalFormatting sqref="G5:G14">
    <cfRule type="expression" priority="2" aboveAverage="0" equalAverage="0" bottom="0" percent="0" rank="0" text="" dxfId="0">
      <formula>$G5="NORMAL"</formula>
    </cfRule>
    <cfRule type="expression" priority="3" aboveAverage="0" equalAverage="0" bottom="0" percent="0" rank="0" text="" dxfId="1">
      <formula>$G5="ATENCAO"</formula>
    </cfRule>
    <cfRule type="expression" priority="4" aboveAverage="0" equalAverage="0" bottom="0" percent="0" rank="0" text="" dxfId="2">
      <formula>$G5="PERIGO"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1" t="s">
        <v>68</v>
      </c>
    </row>
    <row r="3" customFormat="false" ht="15" hidden="false" customHeight="false" outlineLevel="0" collapsed="false">
      <c r="A3" s="2" t="s">
        <v>62</v>
      </c>
      <c r="B3" s="2" t="s">
        <v>63</v>
      </c>
      <c r="C3" s="2" t="s">
        <v>64</v>
      </c>
    </row>
    <row r="4" customFormat="false" ht="15" hidden="false" customHeight="false" outlineLevel="0" collapsed="false">
      <c r="A4" s="9" t="n">
        <v>1</v>
      </c>
      <c r="B4" s="10" t="n">
        <f aca="false">Amostras!C5</f>
        <v>0</v>
      </c>
      <c r="C4" s="10" t="n">
        <f aca="false">Amostras!D5</f>
        <v>0</v>
      </c>
    </row>
    <row r="5" customFormat="false" ht="15" hidden="false" customHeight="false" outlineLevel="0" collapsed="false">
      <c r="A5" s="9" t="n">
        <v>2</v>
      </c>
      <c r="B5" s="10" t="n">
        <f aca="false">Amostras!C6</f>
        <v>9.77517106549365</v>
      </c>
      <c r="C5" s="10" t="n">
        <f aca="false">Amostras!D6</f>
        <v>9.77517106549365</v>
      </c>
    </row>
    <row r="6" customFormat="false" ht="15" hidden="false" customHeight="false" outlineLevel="0" collapsed="false">
      <c r="A6" s="9" t="n">
        <v>3</v>
      </c>
      <c r="B6" s="10" t="n">
        <f aca="false">Amostras!C7</f>
        <v>25.0244379276637</v>
      </c>
      <c r="C6" s="10" t="n">
        <f aca="false">Amostras!D7</f>
        <v>25.0244379276637</v>
      </c>
    </row>
    <row r="7" customFormat="false" ht="15" hidden="false" customHeight="false" outlineLevel="0" collapsed="false">
      <c r="A7" s="9" t="n">
        <v>4</v>
      </c>
      <c r="B7" s="10" t="n">
        <f aca="false">Amostras!C8</f>
        <v>39.1006842619746</v>
      </c>
      <c r="C7" s="10" t="n">
        <f aca="false">Amostras!D8</f>
        <v>39.1006842619746</v>
      </c>
    </row>
    <row r="8" customFormat="false" ht="15" hidden="false" customHeight="false" outlineLevel="0" collapsed="false">
      <c r="A8" s="9" t="n">
        <v>5</v>
      </c>
      <c r="B8" s="10" t="n">
        <f aca="false">Amostras!C9</f>
        <v>50.0488758553275</v>
      </c>
      <c r="C8" s="10" t="n">
        <f aca="false">Amostras!D9</f>
        <v>50.0488758553275</v>
      </c>
    </row>
    <row r="9" customFormat="false" ht="15" hidden="false" customHeight="false" outlineLevel="0" collapsed="false">
      <c r="A9" s="9" t="n">
        <v>6</v>
      </c>
      <c r="B9" s="10" t="n">
        <f aca="false">Amostras!C10</f>
        <v>69.9902248289345</v>
      </c>
      <c r="C9" s="10" t="n">
        <f aca="false">Amostras!D10</f>
        <v>69.9902248289345</v>
      </c>
    </row>
    <row r="10" customFormat="false" ht="15" hidden="false" customHeight="false" outlineLevel="0" collapsed="false">
      <c r="A10" s="9" t="n">
        <v>7</v>
      </c>
      <c r="B10" s="10" t="n">
        <f aca="false">Amostras!C11</f>
        <v>76.2463343108504</v>
      </c>
      <c r="C10" s="10" t="n">
        <f aca="false">Amostras!D11</f>
        <v>76.2463343108504</v>
      </c>
    </row>
    <row r="11" customFormat="false" ht="15" hidden="false" customHeight="false" outlineLevel="0" collapsed="false">
      <c r="A11" s="9" t="n">
        <v>8</v>
      </c>
      <c r="B11" s="10" t="n">
        <f aca="false">Amostras!C12</f>
        <v>84.9462365591398</v>
      </c>
      <c r="C11" s="10" t="n">
        <f aca="false">Amostras!D12</f>
        <v>84.9462365591398</v>
      </c>
    </row>
    <row r="12" customFormat="false" ht="15" hidden="false" customHeight="false" outlineLevel="0" collapsed="false">
      <c r="A12" s="9" t="n">
        <v>9</v>
      </c>
      <c r="B12" s="10" t="n">
        <f aca="false">Amostras!C13</f>
        <v>92.8641251221896</v>
      </c>
      <c r="C12" s="10" t="n">
        <f aca="false">Amostras!D13</f>
        <v>92.8641251221896</v>
      </c>
    </row>
    <row r="13" customFormat="false" ht="15" hidden="false" customHeight="false" outlineLevel="0" collapsed="false">
      <c r="A13" s="9" t="n">
        <v>10</v>
      </c>
      <c r="B13" s="10" t="n">
        <f aca="false">Amostras!C14</f>
        <v>100</v>
      </c>
      <c r="C13" s="10" t="n">
        <f aca="false">Amostras!D14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2026-09-09T07:00:30Z</dcterms:created>
  <dc:creator>openpyxl</dc:creator>
  <dc:description/>
  <dc:language>en-US</dc:language>
  <cp:lastModifiedBy/>
  <dcterms:modified xsi:type="dcterms:W3CDTF">2026-09-09T07:00:38Z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